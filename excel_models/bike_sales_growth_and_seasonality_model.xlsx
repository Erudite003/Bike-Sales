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YoY Trajectory" sheetId="1" state="visible" r:id="rId1"/>
    <sheet xmlns:r="http://schemas.openxmlformats.org/officeDocument/2006/relationships" name="Monthly Season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+0.0%;-0.0%;0.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2563EB"/>
      <sz val="9"/>
    </font>
    <font>
      <name val="Calibri"/>
      <b val="1"/>
      <color rgb="000F172A"/>
      <sz val="18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166" fontId="7" fillId="4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0" fontId="8" fillId="0" borderId="5" pivotButton="0" quotePrefix="0" xfId="0"/>
    <xf numFmtId="164" fontId="8" fillId="0" borderId="5" pivotButton="0" quotePrefix="0" xfId="0"/>
    <xf numFmtId="0" fontId="8" fillId="0" borderId="5" applyAlignment="1" pivotButton="0" quotePrefix="0" xfId="0">
      <alignment horizontal="center"/>
    </xf>
    <xf numFmtId="165" fontId="8" fillId="0" borderId="5" pivotButton="0" quotePrefix="0" xfId="0"/>
    <xf numFmtId="166" fontId="8" fillId="0" borderId="5" pivotButton="0" quotePrefix="0" xfId="0"/>
    <xf numFmtId="0" fontId="7" fillId="2" borderId="1" pivotButton="0" quotePrefix="0" xfId="0"/>
    <xf numFmtId="164" fontId="7" fillId="2" borderId="1" pivotButton="0" quotePrefix="0" xfId="0"/>
    <xf numFmtId="166" fontId="7" fillId="2" borderId="1" pivotButton="0" quotePrefix="0" xfId="0"/>
    <xf numFmtId="165" fontId="7" fillId="2" borderId="1" pivotButton="0" quotePrefix="0" xfId="0"/>
    <xf numFmtId="0" fontId="7" fillId="5" borderId="1" pivotButton="0" quotePrefix="0" xfId="0"/>
    <xf numFmtId="164" fontId="7" fillId="5" borderId="1" pivotButton="0" quotePrefix="0" xfId="0"/>
    <xf numFmtId="166" fontId="7" fillId="5" borderId="1" pivotButton="0" quotePrefix="0" xfId="0"/>
    <xf numFmtId="165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Revenue vs. Gross Profit (2013–2023)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YoY Trajectory'!B9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YoY Trajectory'!$A$10:$A$20</f>
            </numRef>
          </cat>
          <val>
            <numRef>
              <f>'Annual YoY Trajectory'!$B$10:$B$20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Operating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Seasonality Curve: Bimodal Demand ($M)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Seasonality'!B5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Seasonality'!$A$6:$A$17</f>
            </numRef>
          </cat>
          <val>
            <numRef>
              <f>'Monthly Seasonality'!$B$6:$B$17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59055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</row>
      <rowOff>0</rowOff>
    </from>
    <ext cx="59055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7" customWidth="1" min="2" max="2"/>
    <col width="30" customWidth="1" min="3" max="3"/>
    <col width="21" customWidth="1" min="4" max="4"/>
    <col width="36" customWidth="1" min="5" max="5"/>
    <col width="20" customWidth="1" min="6" max="6"/>
    <col width="26" customWidth="1" min="7" max="7"/>
    <col width="21" customWidth="1" min="8" max="8"/>
    <col width="39" customWidth="1" min="9" max="9"/>
    <col width="20" customWidth="1" min="10" max="10"/>
    <col width="31" customWidth="1" min="11" max="11"/>
  </cols>
  <sheetData>
    <row r="1">
      <c r="A1" s="1" t="inlineStr">
        <is>
          <t>GLOBAL BIKE SALES - ANNUAL YEAR-OVER-YEAR (YoY) FINANCIAL TRAJECTORY (2013–2023)</t>
        </is>
      </c>
    </row>
    <row r="2">
      <c r="A2" s="2" t="inlineStr">
        <is>
          <t>Multi-year revenue, gross profit, margin resilience, and growth rate analysis</t>
        </is>
      </c>
    </row>
    <row r="3"/>
    <row r="4">
      <c r="A4" s="3" t="inlineStr">
        <is>
          <t>11-YEAR REVENUE</t>
        </is>
      </c>
      <c r="B4" s="4" t="n"/>
      <c r="C4" s="3" t="inlineStr">
        <is>
          <t>11-YEAR GROSS PROFIT</t>
        </is>
      </c>
      <c r="D4" s="4" t="n"/>
      <c r="E4" s="3" t="inlineStr">
        <is>
          <t>PEAK PERFORMANCE</t>
        </is>
      </c>
      <c r="F4" s="4" t="n"/>
      <c r="G4" s="3" t="inlineStr">
        <is>
          <t>TROUGH YEAR</t>
        </is>
      </c>
      <c r="H4" s="4" t="n"/>
      <c r="I4" s="3" t="inlineStr">
        <is>
          <t>MARGIN BAND</t>
        </is>
      </c>
      <c r="J4" s="4" t="n"/>
    </row>
    <row r="5">
      <c r="A5" s="5" t="inlineStr">
        <is>
          <t>$85,298,198</t>
        </is>
      </c>
      <c r="B5" s="4" t="n"/>
      <c r="C5" s="5" t="inlineStr">
        <is>
          <t>$32,229,951</t>
        </is>
      </c>
      <c r="D5" s="4" t="n"/>
      <c r="E5" s="5" t="inlineStr">
        <is>
          <t>$7,971,310 (2016)</t>
        </is>
      </c>
      <c r="F5" s="4" t="n"/>
      <c r="G5" s="5" t="inlineStr">
        <is>
          <t>$7,550,455 (2020)</t>
        </is>
      </c>
      <c r="H5" s="4" t="n"/>
      <c r="I5" s="5" t="inlineStr">
        <is>
          <t>37.4% – 38.0%</t>
        </is>
      </c>
      <c r="J5" s="4" t="n"/>
    </row>
    <row r="6">
      <c r="A6" s="6" t="inlineStr">
        <is>
          <t>Annual Avg: $7.75M (+0.0% CAGR)</t>
        </is>
      </c>
      <c r="B6" s="4" t="n"/>
      <c r="C6" s="6" t="inlineStr">
        <is>
          <t>37.8% Blended Gross Margin</t>
        </is>
      </c>
      <c r="D6" s="4" t="n"/>
      <c r="E6" s="6" t="inlineStr">
        <is>
          <t>Gross Profit: $3,026,307 (38.0%)</t>
        </is>
      </c>
      <c r="F6" s="4" t="n"/>
      <c r="G6" s="6" t="inlineStr">
        <is>
          <t>-4.01% YoY Contraction</t>
        </is>
      </c>
      <c r="H6" s="4" t="n"/>
      <c r="I6" s="6" t="inlineStr">
        <is>
          <t>Unbroken 11-Year Stability Corridor</t>
        </is>
      </c>
      <c r="J6" s="4" t="n"/>
    </row>
    <row r="7"/>
    <row r="8"/>
    <row r="9">
      <c r="A9" s="7" t="inlineStr">
        <is>
          <t>Operating Year</t>
        </is>
      </c>
      <c r="B9" s="8" t="inlineStr">
        <is>
          <t>Revenue ($)</t>
        </is>
      </c>
      <c r="C9" s="8" t="inlineStr">
        <is>
          <t>Prior Year Rev ($)</t>
        </is>
      </c>
      <c r="D9" s="8" t="inlineStr">
        <is>
          <t>YoY Rev Delta ($)</t>
        </is>
      </c>
      <c r="E9" s="7" t="inlineStr">
        <is>
          <t>YoY Rev Growth (%)</t>
        </is>
      </c>
      <c r="F9" s="8" t="inlineStr">
        <is>
          <t>Gross Profit ($)</t>
        </is>
      </c>
      <c r="G9" s="8" t="inlineStr">
        <is>
          <t>Prior Year GP ($)</t>
        </is>
      </c>
      <c r="H9" s="8" t="inlineStr">
        <is>
          <t>YoY GP Delta ($)</t>
        </is>
      </c>
      <c r="I9" s="7" t="inlineStr">
        <is>
          <t>YoY GP Growth (%)</t>
        </is>
      </c>
      <c r="J9" s="7" t="inlineStr">
        <is>
          <t>Gross Margin (%)</t>
        </is>
      </c>
      <c r="K9" s="8" t="inlineStr">
        <is>
          <t>Context &amp; Trajectory</t>
        </is>
      </c>
    </row>
    <row r="10">
      <c r="A10" s="9" t="n">
        <v>2013</v>
      </c>
      <c r="B10" s="10" t="n">
        <v>7782163</v>
      </c>
      <c r="C10" s="10" t="n"/>
      <c r="D10" s="10" t="n"/>
      <c r="E10" s="11" t="n"/>
      <c r="F10" s="10" t="n">
        <v>2933932</v>
      </c>
      <c r="G10" s="10" t="n"/>
      <c r="H10" s="10" t="n"/>
      <c r="I10" s="11" t="n"/>
      <c r="J10" s="12" t="n">
        <v>0.377</v>
      </c>
      <c r="K10" s="9" t="inlineStr">
        <is>
          <t>Baseline Year</t>
        </is>
      </c>
    </row>
    <row r="11">
      <c r="A11" s="13" t="n">
        <v>2014</v>
      </c>
      <c r="B11" s="14" t="n">
        <v>7753872</v>
      </c>
      <c r="C11" s="14" t="n">
        <v>7782163</v>
      </c>
      <c r="D11" s="14" t="n">
        <v>-28291</v>
      </c>
      <c r="E11" s="15" t="n">
        <v>-0.0036</v>
      </c>
      <c r="F11" s="14" t="n">
        <v>2929264</v>
      </c>
      <c r="G11" s="14" t="n">
        <v>2933932</v>
      </c>
      <c r="H11" s="14" t="n">
        <v>-4668</v>
      </c>
      <c r="I11" s="15" t="n">
        <v>-0.0016</v>
      </c>
      <c r="J11" s="16" t="n">
        <v>0.3778</v>
      </c>
      <c r="K11" s="13" t="inlineStr">
        <is>
          <t>Stable (-0.36%)</t>
        </is>
      </c>
    </row>
    <row r="12">
      <c r="A12" s="9" t="n">
        <v>2015</v>
      </c>
      <c r="B12" s="10" t="n">
        <v>7853503</v>
      </c>
      <c r="C12" s="10" t="n">
        <v>7753872</v>
      </c>
      <c r="D12" s="10" t="n">
        <v>99631</v>
      </c>
      <c r="E12" s="11" t="n">
        <v>0.0129</v>
      </c>
      <c r="F12" s="10" t="n">
        <v>2963825</v>
      </c>
      <c r="G12" s="10" t="n">
        <v>2929264</v>
      </c>
      <c r="H12" s="10" t="n">
        <v>34561</v>
      </c>
      <c r="I12" s="11" t="n">
        <v>0.0118</v>
      </c>
      <c r="J12" s="12" t="n">
        <v>0.3774</v>
      </c>
      <c r="K12" s="9" t="inlineStr">
        <is>
          <t>Growth (+1.29%)</t>
        </is>
      </c>
    </row>
    <row r="13">
      <c r="A13" s="13" t="n">
        <v>2016</v>
      </c>
      <c r="B13" s="14" t="n">
        <v>7971310</v>
      </c>
      <c r="C13" s="14" t="n">
        <v>7853503</v>
      </c>
      <c r="D13" s="14" t="n">
        <v>117807</v>
      </c>
      <c r="E13" s="15" t="n">
        <v>0.015</v>
      </c>
      <c r="F13" s="14" t="n">
        <v>3026307</v>
      </c>
      <c r="G13" s="14" t="n">
        <v>2963825</v>
      </c>
      <c r="H13" s="14" t="n">
        <v>62482</v>
      </c>
      <c r="I13" s="15" t="n">
        <v>0.0211</v>
      </c>
      <c r="J13" s="16" t="n">
        <v>0.3797</v>
      </c>
      <c r="K13" s="13" t="inlineStr">
        <is>
          <t>Peak Year (+1.50%)</t>
        </is>
      </c>
    </row>
    <row r="14">
      <c r="A14" s="9" t="n">
        <v>2017</v>
      </c>
      <c r="B14" s="10" t="n">
        <v>7862502</v>
      </c>
      <c r="C14" s="10" t="n">
        <v>7971310</v>
      </c>
      <c r="D14" s="10" t="n">
        <v>-108808</v>
      </c>
      <c r="E14" s="11" t="n">
        <v>-0.0136</v>
      </c>
      <c r="F14" s="10" t="n">
        <v>2963335</v>
      </c>
      <c r="G14" s="10" t="n">
        <v>3026307</v>
      </c>
      <c r="H14" s="10" t="n">
        <v>-62972</v>
      </c>
      <c r="I14" s="11" t="n">
        <v>-0.0208</v>
      </c>
      <c r="J14" s="12" t="n">
        <v>0.3769</v>
      </c>
      <c r="K14" s="9" t="inlineStr">
        <is>
          <t>Slight Pullback (-1.36%)</t>
        </is>
      </c>
    </row>
    <row r="15">
      <c r="A15" s="13" t="n">
        <v>2018</v>
      </c>
      <c r="B15" s="14" t="n">
        <v>7595956</v>
      </c>
      <c r="C15" s="14" t="n">
        <v>7862502</v>
      </c>
      <c r="D15" s="14" t="n">
        <v>-266546</v>
      </c>
      <c r="E15" s="15" t="n">
        <v>-0.0339</v>
      </c>
      <c r="F15" s="14" t="n">
        <v>2867297</v>
      </c>
      <c r="G15" s="14" t="n">
        <v>2963335</v>
      </c>
      <c r="H15" s="14" t="n">
        <v>-96038</v>
      </c>
      <c r="I15" s="15" t="n">
        <v>-0.0324</v>
      </c>
      <c r="J15" s="16" t="n">
        <v>0.3775</v>
      </c>
      <c r="K15" s="13" t="inlineStr">
        <is>
          <t>Decline (-3.39%)</t>
        </is>
      </c>
    </row>
    <row r="16">
      <c r="A16" s="9" t="n">
        <v>2019</v>
      </c>
      <c r="B16" s="10" t="n">
        <v>7865723</v>
      </c>
      <c r="C16" s="10" t="n">
        <v>7595956</v>
      </c>
      <c r="D16" s="10" t="n">
        <v>269767</v>
      </c>
      <c r="E16" s="11" t="n">
        <v>0.0355</v>
      </c>
      <c r="F16" s="10" t="n">
        <v>2980984</v>
      </c>
      <c r="G16" s="10" t="n">
        <v>2867297</v>
      </c>
      <c r="H16" s="10" t="n">
        <v>113687</v>
      </c>
      <c r="I16" s="11" t="n">
        <v>0.0396</v>
      </c>
      <c r="J16" s="12" t="n">
        <v>0.379</v>
      </c>
      <c r="K16" s="9" t="inlineStr">
        <is>
          <t>Rebound (+3.55%)</t>
        </is>
      </c>
    </row>
    <row r="17">
      <c r="A17" s="13" t="n">
        <v>2020</v>
      </c>
      <c r="B17" s="14" t="n">
        <v>7550455</v>
      </c>
      <c r="C17" s="14" t="n">
        <v>7865723</v>
      </c>
      <c r="D17" s="14" t="n">
        <v>-315268</v>
      </c>
      <c r="E17" s="15" t="n">
        <v>-0.0401</v>
      </c>
      <c r="F17" s="14" t="n">
        <v>2870185</v>
      </c>
      <c r="G17" s="14" t="n">
        <v>2980984</v>
      </c>
      <c r="H17" s="14" t="n">
        <v>-110799</v>
      </c>
      <c r="I17" s="15" t="n">
        <v>-0.0372</v>
      </c>
      <c r="J17" s="16" t="n">
        <v>0.3801</v>
      </c>
      <c r="K17" s="13" t="inlineStr">
        <is>
          <t>Trough Year (-4.01%)</t>
        </is>
      </c>
    </row>
    <row r="18">
      <c r="A18" s="9" t="n">
        <v>2021</v>
      </c>
      <c r="B18" s="10" t="n">
        <v>7671898</v>
      </c>
      <c r="C18" s="10" t="n">
        <v>7550455</v>
      </c>
      <c r="D18" s="10" t="n">
        <v>121443</v>
      </c>
      <c r="E18" s="11" t="n">
        <v>0.0161</v>
      </c>
      <c r="F18" s="10" t="n">
        <v>2895217</v>
      </c>
      <c r="G18" s="10" t="n">
        <v>2870185</v>
      </c>
      <c r="H18" s="10" t="n">
        <v>25032</v>
      </c>
      <c r="I18" s="11" t="n">
        <v>0.008699999999999999</v>
      </c>
      <c r="J18" s="12" t="n">
        <v>0.3774</v>
      </c>
      <c r="K18" s="9" t="inlineStr">
        <is>
          <t>Recovery (+1.61%)</t>
        </is>
      </c>
    </row>
    <row r="19">
      <c r="A19" s="13" t="n">
        <v>2022</v>
      </c>
      <c r="B19" s="14" t="n">
        <v>7592783</v>
      </c>
      <c r="C19" s="14" t="n">
        <v>7671898</v>
      </c>
      <c r="D19" s="14" t="n">
        <v>-79115</v>
      </c>
      <c r="E19" s="15" t="n">
        <v>-0.0103</v>
      </c>
      <c r="F19" s="14" t="n">
        <v>2839784</v>
      </c>
      <c r="G19" s="14" t="n">
        <v>2895217</v>
      </c>
      <c r="H19" s="14" t="n">
        <v>-55433</v>
      </c>
      <c r="I19" s="15" t="n">
        <v>-0.0191</v>
      </c>
      <c r="J19" s="16" t="n">
        <v>0.374</v>
      </c>
      <c r="K19" s="13" t="inlineStr">
        <is>
          <t>Slight Contraction (-1.03%)</t>
        </is>
      </c>
    </row>
    <row r="20">
      <c r="A20" s="9" t="n">
        <v>2023</v>
      </c>
      <c r="B20" s="10" t="n">
        <v>7798033</v>
      </c>
      <c r="C20" s="10" t="n">
        <v>7592783</v>
      </c>
      <c r="D20" s="10" t="n">
        <v>205250</v>
      </c>
      <c r="E20" s="11" t="n">
        <v>0.027</v>
      </c>
      <c r="F20" s="10" t="n">
        <v>2959821</v>
      </c>
      <c r="G20" s="10" t="n">
        <v>2839784</v>
      </c>
      <c r="H20" s="10" t="n">
        <v>120037</v>
      </c>
      <c r="I20" s="11" t="n">
        <v>0.0423</v>
      </c>
      <c r="J20" s="12" t="n">
        <v>0.3796</v>
      </c>
      <c r="K20" s="9" t="inlineStr">
        <is>
          <t>Strong Expansion (+2.70%)</t>
        </is>
      </c>
    </row>
    <row r="21">
      <c r="A21" s="17" t="inlineStr">
        <is>
          <t>Total / Avg</t>
        </is>
      </c>
      <c r="B21" s="18">
        <f>SUM(B10:B20)</f>
        <v/>
      </c>
      <c r="C21" s="19" t="inlineStr">
        <is>
          <t>-</t>
        </is>
      </c>
      <c r="D21" s="18">
        <f>AVERAGE(D11:D20)</f>
        <v/>
      </c>
      <c r="E21" s="20">
        <f>AVERAGE(E11:E20)</f>
        <v/>
      </c>
      <c r="F21" s="18">
        <f>SUM(F10:F20)</f>
        <v/>
      </c>
      <c r="G21" s="19" t="inlineStr">
        <is>
          <t>-</t>
        </is>
      </c>
      <c r="H21" s="18">
        <f>AVERAGE(H11:H20)</f>
        <v/>
      </c>
      <c r="I21" s="20">
        <f>AVERAGE(I11:I20)</f>
        <v/>
      </c>
      <c r="J21" s="21">
        <f>F21/B21</f>
        <v/>
      </c>
      <c r="K21" s="17" t="inlineStr">
        <is>
          <t>11-Year Cumulative Baseline</t>
        </is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5" customWidth="1" min="2" max="2"/>
    <col width="20" customWidth="1" min="3" max="3"/>
    <col width="17" customWidth="1" min="4" max="4"/>
    <col width="18" customWidth="1" min="5" max="5"/>
    <col width="30" customWidth="1" min="6" max="6"/>
    <col width="60" customWidth="1" min="7" max="7"/>
  </cols>
  <sheetData>
    <row r="1">
      <c r="A1" s="1" t="inlineStr">
        <is>
          <t>MONTHLY SEASONALITY &amp; DEMAND CYCLE DISTRIBUTION (AGGREGATE 2013–2023)</t>
        </is>
      </c>
    </row>
    <row r="2">
      <c r="A2" s="2" t="inlineStr">
        <is>
          <t>12-month seasonality curves, MoM velocity, demand cycle classification, and operational playbooks</t>
        </is>
      </c>
    </row>
    <row r="3"/>
    <row r="4"/>
    <row r="5">
      <c r="A5" s="7" t="inlineStr">
        <is>
          <t>Month</t>
        </is>
      </c>
      <c r="B5" s="8" t="inlineStr">
        <is>
          <t>Aggregate Revenue ($)</t>
        </is>
      </c>
      <c r="C5" s="7" t="inlineStr">
        <is>
          <t>% of Total Sales</t>
        </is>
      </c>
      <c r="D5" s="8" t="inlineStr">
        <is>
          <t>MoM Delta ($)</t>
        </is>
      </c>
      <c r="E5" s="7" t="inlineStr">
        <is>
          <t>MoM Growth (%)</t>
        </is>
      </c>
      <c r="F5" s="8" t="inlineStr">
        <is>
          <t>Demand Cycle Phase</t>
        </is>
      </c>
      <c r="G5" s="8" t="inlineStr">
        <is>
          <t>Operational &amp; Commercial Impact</t>
        </is>
      </c>
    </row>
    <row r="6">
      <c r="A6" s="9" t="inlineStr">
        <is>
          <t>January</t>
        </is>
      </c>
      <c r="B6" s="10" t="n">
        <v>7009758</v>
      </c>
      <c r="C6" s="12" t="n">
        <v>0.0822</v>
      </c>
      <c r="D6" s="10" t="n">
        <v>-2087312</v>
      </c>
      <c r="E6" s="11" t="n">
        <v>-0.2294</v>
      </c>
      <c r="F6" s="9" t="inlineStr">
        <is>
          <t>Post-Holiday Reset</t>
        </is>
      </c>
      <c r="G6" s="9" t="inlineStr">
        <is>
          <t>Moderate baseline demand following year-end peak.</t>
        </is>
      </c>
    </row>
    <row r="7">
      <c r="A7" s="13" t="inlineStr">
        <is>
          <t>February</t>
        </is>
      </c>
      <c r="B7" s="14" t="n">
        <v>6834583</v>
      </c>
      <c r="C7" s="16" t="n">
        <v>0.0801</v>
      </c>
      <c r="D7" s="14" t="n">
        <v>-175175</v>
      </c>
      <c r="E7" s="15" t="n">
        <v>-0.025</v>
      </c>
      <c r="F7" s="13" t="inlineStr">
        <is>
          <t>Late Winter Trough</t>
        </is>
      </c>
      <c r="G7" s="13" t="inlineStr">
        <is>
          <t>Annual trough month; prime window for inventory build.</t>
        </is>
      </c>
    </row>
    <row r="8">
      <c r="A8" s="9" t="inlineStr">
        <is>
          <t>March</t>
        </is>
      </c>
      <c r="B8" s="10" t="n">
        <v>7351357</v>
      </c>
      <c r="C8" s="12" t="n">
        <v>0.0862</v>
      </c>
      <c r="D8" s="10" t="n">
        <v>516774</v>
      </c>
      <c r="E8" s="11" t="n">
        <v>0.0756</v>
      </c>
      <c r="F8" s="9" t="inlineStr">
        <is>
          <t>Spring Ramp-Up</t>
        </is>
      </c>
      <c r="G8" s="9" t="inlineStr">
        <is>
          <t>Outdoor cycling interest accelerates across NA &amp; Europe.</t>
        </is>
      </c>
    </row>
    <row r="9">
      <c r="A9" s="13" t="inlineStr">
        <is>
          <t>April</t>
        </is>
      </c>
      <c r="B9" s="14" t="n">
        <v>7602764</v>
      </c>
      <c r="C9" s="16" t="n">
        <v>0.0891</v>
      </c>
      <c r="D9" s="14" t="n">
        <v>251407</v>
      </c>
      <c r="E9" s="15" t="n">
        <v>0.0342</v>
      </c>
      <c r="F9" s="13" t="inlineStr">
        <is>
          <t>Spring Momentum</t>
        </is>
      </c>
      <c r="G9" s="13" t="inlineStr">
        <is>
          <t>Broad-based expansion across all bike categories.</t>
        </is>
      </c>
    </row>
    <row r="10">
      <c r="A10" s="9" t="inlineStr">
        <is>
          <t>May</t>
        </is>
      </c>
      <c r="B10" s="10" t="n">
        <v>8840209</v>
      </c>
      <c r="C10" s="12" t="n">
        <v>0.1036</v>
      </c>
      <c r="D10" s="10" t="n">
        <v>1237445</v>
      </c>
      <c r="E10" s="11" t="n">
        <v>0.1628</v>
      </c>
      <c r="F10" s="9" t="inlineStr">
        <is>
          <t>Early Summer Surge</t>
        </is>
      </c>
      <c r="G10" s="9" t="inlineStr">
        <is>
          <t>Pre-summer accessories and apparel purchasing surge.</t>
        </is>
      </c>
    </row>
    <row r="11">
      <c r="A11" s="22" t="inlineStr">
        <is>
          <t>June</t>
        </is>
      </c>
      <c r="B11" s="23" t="n">
        <v>9044483</v>
      </c>
      <c r="C11" s="24" t="n">
        <v>0.106</v>
      </c>
      <c r="D11" s="23" t="n">
        <v>204274</v>
      </c>
      <c r="E11" s="25" t="n">
        <v>0.0231</v>
      </c>
      <c r="F11" s="22" t="inlineStr">
        <is>
          <t>Mid-Year Peak ($9.04M)</t>
        </is>
      </c>
      <c r="G11" s="22" t="inlineStr">
        <is>
          <t>First major annual sales apex; peak riding season.</t>
        </is>
      </c>
    </row>
    <row r="12">
      <c r="A12" s="26" t="inlineStr">
        <is>
          <t>July</t>
        </is>
      </c>
      <c r="B12" s="27" t="n">
        <v>5722784</v>
      </c>
      <c r="C12" s="28" t="n">
        <v>0.06710000000000001</v>
      </c>
      <c r="D12" s="27" t="n">
        <v>-3321699</v>
      </c>
      <c r="E12" s="29" t="n">
        <v>-0.3673</v>
      </c>
      <c r="F12" s="26" t="inlineStr">
        <is>
          <t>Summer Lull (Sharp Drop)</t>
        </is>
      </c>
      <c r="G12" s="26" t="inlineStr">
        <is>
          <t>Sudden -36.7% drop due to mid-summer European vacations.</t>
        </is>
      </c>
    </row>
    <row r="13">
      <c r="A13" s="26" t="inlineStr">
        <is>
          <t>August</t>
        </is>
      </c>
      <c r="B13" s="27" t="n">
        <v>5711193</v>
      </c>
      <c r="C13" s="28" t="n">
        <v>0.067</v>
      </c>
      <c r="D13" s="27" t="n">
        <v>-11591</v>
      </c>
      <c r="E13" s="29" t="n">
        <v>-0.002</v>
      </c>
      <c r="F13" s="26" t="inlineStr">
        <is>
          <t>Summer Slump ($5.71M)</t>
        </is>
      </c>
      <c r="G13" s="26" t="inlineStr">
        <is>
          <t>Lowest revenue month of the operational calendar.</t>
        </is>
      </c>
    </row>
    <row r="14">
      <c r="A14" s="9" t="inlineStr">
        <is>
          <t>September</t>
        </is>
      </c>
      <c r="B14" s="10" t="n">
        <v>5842332</v>
      </c>
      <c r="C14" s="12" t="n">
        <v>0.06850000000000001</v>
      </c>
      <c r="D14" s="10" t="n">
        <v>131139</v>
      </c>
      <c r="E14" s="11" t="n">
        <v>0.023</v>
      </c>
      <c r="F14" s="9" t="inlineStr">
        <is>
          <t>Late Q3 Stabilization</t>
        </is>
      </c>
      <c r="G14" s="9" t="inlineStr">
        <is>
          <t>Demand stabilizes with fall commuting and clearance.</t>
        </is>
      </c>
    </row>
    <row r="15">
      <c r="A15" s="13" t="inlineStr">
        <is>
          <t>October</t>
        </is>
      </c>
      <c r="B15" s="14" t="n">
        <v>5995681</v>
      </c>
      <c r="C15" s="16" t="n">
        <v>0.0703</v>
      </c>
      <c r="D15" s="14" t="n">
        <v>153349</v>
      </c>
      <c r="E15" s="15" t="n">
        <v>0.0262</v>
      </c>
      <c r="F15" s="13" t="inlineStr">
        <is>
          <t>Early Q4 Build</t>
        </is>
      </c>
      <c r="G15" s="13" t="inlineStr">
        <is>
          <t>Pre-holiday stocking and promotional campaigns launch.</t>
        </is>
      </c>
    </row>
    <row r="16">
      <c r="A16" s="9" t="inlineStr">
        <is>
          <t>November</t>
        </is>
      </c>
      <c r="B16" s="10" t="n">
        <v>6245984</v>
      </c>
      <c r="C16" s="12" t="n">
        <v>0.0732</v>
      </c>
      <c r="D16" s="10" t="n">
        <v>250303</v>
      </c>
      <c r="E16" s="11" t="n">
        <v>0.0417</v>
      </c>
      <c r="F16" s="9" t="inlineStr">
        <is>
          <t>Holiday Inflow</t>
        </is>
      </c>
      <c r="G16" s="9" t="inlineStr">
        <is>
          <t>Black Friday / Cyber Week shopping initiates peak.</t>
        </is>
      </c>
    </row>
    <row r="17">
      <c r="A17" s="22" t="inlineStr">
        <is>
          <t>December</t>
        </is>
      </c>
      <c r="B17" s="23" t="n">
        <v>9097070</v>
      </c>
      <c r="C17" s="24" t="n">
        <v>0.1066</v>
      </c>
      <c r="D17" s="23" t="n">
        <v>2851086</v>
      </c>
      <c r="E17" s="25" t="n">
        <v>0.4565</v>
      </c>
      <c r="F17" s="22" t="inlineStr">
        <is>
          <t>Annual Super Peak ($9.10M)</t>
        </is>
      </c>
      <c r="G17" s="22" t="inlineStr">
        <is>
          <t>Highest grossing month driven by holiday gift orders.</t>
        </is>
      </c>
    </row>
    <row r="18">
      <c r="A18" s="17" t="inlineStr">
        <is>
          <t>Total / Year</t>
        </is>
      </c>
      <c r="B18" s="18">
        <f>SUM(B6:B17)</f>
        <v/>
      </c>
      <c r="C18" s="21" t="n">
        <v>1</v>
      </c>
      <c r="D18" s="19" t="inlineStr">
        <is>
          <t>-</t>
        </is>
      </c>
      <c r="E18" s="19" t="inlineStr">
        <is>
          <t>-</t>
        </is>
      </c>
      <c r="F18" s="17" t="inlineStr">
        <is>
          <t>Full 12-Month Total</t>
        </is>
      </c>
      <c r="G18" s="17" t="inlineStr">
        <is>
          <t>Aggregated multi-year baseline volume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2026-09-22T08:15:10Z</dcterms:created>
  <dcterms:modified xmlns:dcterms="http://purl.org/dc/terms/" xmlns:xsi="http://www.w3.org/2001/XMLSchema-instance" xsi:type="dcterms:W3CDTF">2026-09-22T08:15:10Z</dcterms:modified>
</cp:coreProperties>
</file>